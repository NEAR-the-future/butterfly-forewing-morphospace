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750" windowHeight="1048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<sst xmlns="http://schemas.openxmlformats.org/spreadsheetml/2006/main" count="15" uniqueCount="15">
  <si>
    <t>Reference</t>
  </si>
  <si>
    <t>Number of species</t>
  </si>
  <si>
    <t>Total</t>
  </si>
  <si>
    <t>[1]</t>
  </si>
  <si>
    <t>Patil, Sonal, and Sujata Magdum. "Insight into wing venation in butterflies belonging to families Papilionidae, Nymphalidae and Pieridae from Dang Dist Gujarat, India." J. Entomol. Zool. Stud 5 (2017): 1596-1607.</t>
  </si>
  <si>
    <t>[2]</t>
  </si>
  <si>
    <t>Weibin Gu. Internet dataset 2</t>
  </si>
  <si>
    <t>[3]</t>
  </si>
  <si>
    <t>Weibin Gu. Internet dataset 1</t>
  </si>
  <si>
    <t>[4]</t>
  </si>
  <si>
    <t>Davis, Andrew K., Holden, Michael T., Measuring Intraspecific Variation in Flight-Related Morphology of Monarch Butterflies (Danaus plexippus): Which Sex Has the Best Flying Gear?, Journal of Insects, 2015, 591705, 6 pages, 2015. https://doi.org/10.1155/2015/59170</t>
  </si>
  <si>
    <t>[5]</t>
  </si>
  <si>
    <t>Butterfly Conservation SA Inc., https://butterflyconservationsa.net.au/butterfly</t>
  </si>
  <si>
    <t>[6]</t>
  </si>
  <si>
    <t>https://www.butterfliesofamerica.com/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</si>
</sst>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b/>
      <sz val="11"/>
      <color theme="1"/>
      <name val="Microsoft YaHei"/>
      <charset val="134"/>
    </font>
    <font>
      <sz val="10"/>
      <color theme="1"/>
      <name val="Microsoft YaHei"/>
      <charset val="134"/>
    </font>
    <font>
      <u/>
      <sz val="10"/>
      <color rgb="FF0000FF"/>
      <name val="Microsoft YaHei"/>
      <charset val="0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2" borderId="3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4">
      <alignment vertical="center"/>
    </xf>
    <xf numFmtId="0" fontId="10" fillId="0" borderId="4">
      <alignment vertical="center"/>
    </xf>
    <xf numFmtId="0" fontId="11" fillId="0" borderId="5">
      <alignment vertical="center"/>
    </xf>
    <xf numFmtId="0" fontId="11" fillId="0" borderId="0">
      <alignment vertical="center"/>
    </xf>
    <xf numFmtId="0" fontId="12" fillId="3" borderId="6">
      <alignment vertical="center"/>
    </xf>
    <xf numFmtId="0" fontId="13" fillId="4" borderId="7">
      <alignment vertical="center"/>
    </xf>
    <xf numFmtId="0" fontId="14" fillId="4" borderId="6">
      <alignment vertical="center"/>
    </xf>
    <xf numFmtId="0" fontId="15" fillId="5" borderId="8">
      <alignment vertical="center"/>
    </xf>
    <xf numFmtId="0" fontId="16" fillId="0" borderId="9">
      <alignment vertical="center"/>
    </xf>
    <xf numFmtId="0" fontId="17" fillId="0" borderId="10">
      <alignment vertical="center"/>
    </xf>
    <xf numFmtId="0" fontId="18" fillId="6" borderId="0">
      <alignment vertical="center"/>
    </xf>
    <xf numFmtId="0" fontId="19" fillId="7" borderId="0">
      <alignment vertical="center"/>
    </xf>
    <xf numFmtId="0" fontId="20" fillId="8" borderId="0">
      <alignment vertical="center"/>
    </xf>
    <xf numFmtId="0" fontId="21" fillId="9" borderId="0">
      <alignment vertical="center"/>
    </xf>
    <xf numFmtId="0" fontId="22" fillId="10" borderId="0">
      <alignment vertical="center"/>
    </xf>
    <xf numFmtId="0" fontId="22" fillId="11" borderId="0">
      <alignment vertical="center"/>
    </xf>
    <xf numFmtId="0" fontId="21" fillId="12" borderId="0">
      <alignment vertical="center"/>
    </xf>
    <xf numFmtId="0" fontId="21" fillId="13" borderId="0">
      <alignment vertical="center"/>
    </xf>
    <xf numFmtId="0" fontId="22" fillId="14" borderId="0">
      <alignment vertical="center"/>
    </xf>
    <xf numFmtId="0" fontId="22" fillId="15" borderId="0">
      <alignment vertical="center"/>
    </xf>
    <xf numFmtId="0" fontId="21" fillId="16" borderId="0">
      <alignment vertical="center"/>
    </xf>
    <xf numFmtId="0" fontId="21" fillId="17" borderId="0">
      <alignment vertical="center"/>
    </xf>
    <xf numFmtId="0" fontId="22" fillId="18" borderId="0">
      <alignment vertical="center"/>
    </xf>
    <xf numFmtId="0" fontId="22" fillId="19" borderId="0">
      <alignment vertical="center"/>
    </xf>
    <xf numFmtId="0" fontId="21" fillId="20" borderId="0">
      <alignment vertical="center"/>
    </xf>
    <xf numFmtId="0" fontId="21" fillId="21" borderId="0">
      <alignment vertical="center"/>
    </xf>
    <xf numFmtId="0" fontId="22" fillId="22" borderId="0">
      <alignment vertical="center"/>
    </xf>
    <xf numFmtId="0" fontId="22" fillId="23" borderId="0">
      <alignment vertical="center"/>
    </xf>
    <xf numFmtId="0" fontId="21" fillId="24" borderId="0">
      <alignment vertical="center"/>
    </xf>
    <xf numFmtId="0" fontId="21" fillId="25" borderId="0">
      <alignment vertical="center"/>
    </xf>
    <xf numFmtId="0" fontId="22" fillId="26" borderId="0">
      <alignment vertical="center"/>
    </xf>
    <xf numFmtId="0" fontId="22" fillId="27" borderId="0">
      <alignment vertical="center"/>
    </xf>
    <xf numFmtId="0" fontId="21" fillId="28" borderId="0">
      <alignment vertical="center"/>
    </xf>
    <xf numFmtId="0" fontId="21" fillId="29" borderId="0">
      <alignment vertical="center"/>
    </xf>
    <xf numFmtId="0" fontId="22" fillId="30" borderId="0">
      <alignment vertical="center"/>
    </xf>
    <xf numFmtId="0" fontId="22" fillId="31" borderId="0">
      <alignment vertical="center"/>
    </xf>
    <xf numFmtId="0" fontId="21" fillId="32" borderId="0">
      <alignment vertical="center"/>
    </xf>
  </cellStyleXfs>
  <cellXfs count="7">
    <xf numFmtId="0" fontId="0" fillId="0" borderId="0" xfId="0" applyAlignment="1">
      <alignment vertical="center"/>
    </xf>
    <xf numFmtId="0" fontId="1" fillId="0" borderId="1" xfId="0" applyFont="1" applyFill="1" applyBorder="1" applyAlignment="1">
      <alignment horizontal="center" vertical="center" wrapText="1"/>
    </xf>
    <xf numFmtId="0" fontId="2" fillId="0" borderId="0" xfId="0" applyFont="1" applyFill="1" applyAlignment="1">
      <alignment horizontal="center" vertical="center" wrapText="1"/>
    </xf>
    <xf numFmtId="0" fontId="2" fillId="0" borderId="0" xfId="0" applyFont="1" applyFill="1" applyAlignment="1">
      <alignment horizontal="left" vertical="center" wrapText="1"/>
    </xf>
    <xf numFmtId="0" fontId="2" fillId="0" borderId="0" xfId="0" applyFont="1" applyFill="1" applyAlignment="1">
      <alignment horizontal="center" vertical="center" wrapText="1"/>
    </xf>
    <xf numFmtId="0" fontId="2" fillId="0" borderId="2" xfId="0" applyFont="1" applyFill="1" applyBorder="1" applyAlignment="1">
      <alignment horizontal="center" vertical="center" wrapText="1"/>
    </xf>
    <xf numFmtId="0" fontId="3" fillId="0" borderId="0" xfId="6" applyFont="1" applyAlignment="1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butterfliesofamerica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7"/>
  <sheetViews>
    <sheetView tabSelected="1" workbookViewId="0">
      <selection activeCell="F5" sqref="F5"/>
    </sheetView>
  </sheetViews>
  <sheetFormatPr defaultColWidth="9" defaultRowHeight="14" outlineLevelRow="6" outlineLevelCol="3"/>
  <cols>
    <col min="1" max="1" width="7.19090909090909" customWidth="1"/>
    <col min="2" max="2" width="50.6363636363636" customWidth="1"/>
    <col min="3" max="3" width="24.8272727272727" customWidth="1"/>
    <col min="4" max="4" width="9.73636363636364" customWidth="1"/>
  </cols>
  <sheetData>
    <row r="1" ht="22.5" customHeight="1" spans="1:4">
      <c r="A1" s="1" t="s">
        <v>0</v>
      </c>
      <c r="B1" s="1"/>
      <c r="C1" s="1" t="s">
        <v>1</v>
      </c>
      <c r="D1" s="1" t="s">
        <v>2</v>
      </c>
    </row>
    <row r="2" ht="72" customHeight="1" spans="1:4">
      <c r="A2" s="2" t="s">
        <v>3</v>
      </c>
      <c r="B2" s="3" t="s">
        <v>4</v>
      </c>
      <c r="C2" s="4">
        <v>9</v>
      </c>
      <c r="D2" s="5">
        <f>SUM(C:C)</f>
        <v>383</v>
      </c>
    </row>
    <row r="3" ht="22.5" customHeight="1" spans="1:4">
      <c r="A3" s="2" t="s">
        <v>5</v>
      </c>
      <c r="B3" s="3" t="s">
        <v>6</v>
      </c>
      <c r="C3" s="4">
        <v>10</v>
      </c>
      <c r="D3" s="4"/>
    </row>
    <row r="4" ht="22.5" customHeight="1" spans="1:4">
      <c r="A4" s="2" t="s">
        <v>7</v>
      </c>
      <c r="B4" s="3" t="s">
        <v>8</v>
      </c>
      <c r="C4" s="4">
        <v>9</v>
      </c>
      <c r="D4" s="4"/>
    </row>
    <row r="5" ht="88.5" customHeight="1" spans="1:4">
      <c r="A5" s="2" t="s">
        <v>9</v>
      </c>
      <c r="B5" s="3" t="s">
        <v>10</v>
      </c>
      <c r="C5" s="4">
        <v>1</v>
      </c>
      <c r="D5" s="4"/>
    </row>
    <row r="6" ht="39" customHeight="1" spans="1:4">
      <c r="A6" s="2" t="s">
        <v>11</v>
      </c>
      <c r="B6" s="3" t="s">
        <v>12</v>
      </c>
      <c r="C6" s="4">
        <v>66</v>
      </c>
      <c r="D6" s="4"/>
    </row>
    <row r="7" ht="22.5" customHeight="1" spans="1:4">
      <c r="A7" s="2" t="s">
        <v>13</v>
      </c>
      <c r="B7" s="6" t="s">
        <v>14</v>
      </c>
      <c r="C7" s="4">
        <v>288</v>
      </c>
      <c r="D7" s="4"/>
    </row>
  </sheetData>
  <mergeCells count="1">
    <mergeCell ref="A1:B1"/>
  </mergeCells>
  <hyperlinks>
    <hyperlink ref="B7" r:id="rId1" display="https://www.butterfliesofamerica.com/"/>
  </hyperlink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王宇轩</dc:creator>
  <cp:lastModifiedBy>Optimism</cp:lastModifiedBy>
  <dcterms:created xsi:type="dcterms:W3CDTF">2023-05-12T11:15:00Z</dcterms:created>
  <dcterms:modified xsi:type="dcterms:W3CDTF">2026-06-30T03:00:14Z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35F3161B1B654355AE43A49E2B39D271_12</vt:lpwstr>
  </property>
  <property fmtid="{D5CDD505-2E9C-101B-9397-08002B2CF9AE}" pid="4" name="CalculationRule">
    <vt:i4>0</vt:i4>
  </property>
</Properties>
</file>