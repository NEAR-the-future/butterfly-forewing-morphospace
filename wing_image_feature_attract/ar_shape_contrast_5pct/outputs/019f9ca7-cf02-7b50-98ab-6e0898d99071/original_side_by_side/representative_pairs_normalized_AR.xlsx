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8840e785d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AR" sheetId="1" r:id="Ra628f4074ca5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b/>
      <x:sz val="12"/>
      <x:color rgb="FFFFFFFF"/>
      <x:name val="Times New Roman"/>
    </x:font>
    <x:font>
      <x:sz val="11"/>
      <x:color rgb="FF1F2937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f4fc03d6624c9b" /><Relationship Type="http://schemas.openxmlformats.org/officeDocument/2006/relationships/theme" Target="/xl/theme/theme1.xml" Id="Re6eae3e0807e40dc" /><Relationship Type="http://schemas.openxmlformats.org/officeDocument/2006/relationships/sharedStrings" Target="/xl/sharedStrings.xml" Id="R6e46aa3a9282434c" /><Relationship Type="http://schemas.openxmlformats.org/officeDocument/2006/relationships/worksheet" Target="/xl/worksheets/sheet1.xml" Id="Ra628f4074ca547ec" /></Relationships>
</file>

<file path=xl/tables/table1.xml><?xml version="1.0" encoding="utf-8"?>
<x:table xmlns:x="http://schemas.openxmlformats.org/spreadsheetml/2006/main" id="1" name="NormalizedARTable" displayName="NormalizedARTable" ref="A1:E25" headerRowCount="1" totalsRowCount="0" totalsRowShown="0">
  <x:autoFilter ref="A1:E25"/>
  <x:tableColumns count="5">
    <x:tableColumn id="1" name="图像文件"/>
    <x:tableColumn id="2" name="面板"/>
    <x:tableColumn id="3" name="蝴蝶名称"/>
    <x:tableColumn id="4" name="归一化翼面积"/>
    <x:tableColumn id="5" name="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f27b59c70d4b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42" hidden="0" customWidth="1"/>
    <x:col min="4" max="4" width="20" hidden="0" customWidth="1"/>
    <x:col min="5" max="5" width="20" hidden="0" customWidth="1"/>
  </x:cols>
  <x:sheetData>
    <x:row r="1" ht="30" customHeight="1">
      <x:c r="A1" s="12" t="str">
        <x:v>图像文件</x:v>
      </x:c>
      <x:c r="B1" s="13" t="str">
        <x:v>面板</x:v>
      </x:c>
      <x:c r="C1" s="13" t="str">
        <x:v>蝴蝶名称</x:v>
      </x:c>
      <x:c r="D1" s="13" t="str">
        <x:v>归一化翼面积</x:v>
      </x:c>
      <x:c r="E1" s="14" t="str">
        <x:v>AR</x:v>
      </x:c>
    </x:row>
    <x:row r="2">
      <x:c r="A2" s="16" t="str">
        <x:v>Pair_001.png</x:v>
      </x:c>
      <x:c r="B2" s="17" t="str">
        <x:v>(a)</x:v>
      </x:c>
      <x:c r="C2" s="16" t="str">
        <x:v>Charaxinae-5</x:v>
      </x:c>
      <x:c r="D2" s="18" t="n">
        <x:v>0.3788427845411293</x:v>
      </x:c>
      <x:c r="E2" s="18" t="n">
        <x:f>IFERROR(1/D2,"")</x:f>
        <x:v>2.6396173843227424</x:v>
      </x:c>
    </x:row>
    <x:row r="3">
      <x:c r="A3" s="16" t="str">
        <x:v>Pair_001.png</x:v>
      </x:c>
      <x:c r="B3" s="17" t="str">
        <x:v>(b)</x:v>
      </x:c>
      <x:c r="C3" s="16" t="str">
        <x:v>Hesperiidae-24</x:v>
      </x:c>
      <x:c r="D3" s="18" t="n">
        <x:v>0.37997109543719565</x:v>
      </x:c>
      <x:c r="E3" s="18" t="n">
        <x:f>IFERROR(1/D3,"")</x:f>
        <x:v>2.631779132697969</x:v>
      </x:c>
    </x:row>
    <x:row r="4">
      <x:c r="A4" s="16" t="str">
        <x:v>Pair_002.png</x:v>
      </x:c>
      <x:c r="B4" s="17" t="str">
        <x:v>(a)</x:v>
      </x:c>
      <x:c r="C4" s="16" t="str">
        <x:v>Hesperiidae_Taractrocera_papyria</x:v>
      </x:c>
      <x:c r="D4" s="18" t="n">
        <x:v>0.4089265102350444</x:v>
      </x:c>
      <x:c r="E4" s="18" t="n">
        <x:f>IFERROR(1/D4,"")</x:f>
        <x:v>2.4454271732718333</x:v>
      </x:c>
    </x:row>
    <x:row r="5">
      <x:c r="A5" s="16" t="str">
        <x:v>Pair_002.png</x:v>
      </x:c>
      <x:c r="B5" s="17" t="str">
        <x:v>(b)</x:v>
      </x:c>
      <x:c r="C5" s="16" t="str">
        <x:v>Pieridae_Gonepteryx_rhamni</x:v>
      </x:c>
      <x:c r="D5" s="18" t="n">
        <x:v>0.40732448885794076</x:v>
      </x:c>
      <x:c r="E5" s="18" t="n">
        <x:f>IFERROR(1/D5,"")</x:f>
        <x:v>2.4550451233703305</x:v>
      </x:c>
    </x:row>
    <x:row r="6">
      <x:c r="A6" s="16" t="str">
        <x:v>Pair_003.png</x:v>
      </x:c>
      <x:c r="B6" s="17" t="str">
        <x:v>(a)</x:v>
      </x:c>
      <x:c r="C6" s="16" t="str">
        <x:v>Hesperiidae_Croitana_arenaria</x:v>
      </x:c>
      <x:c r="D6" s="18" t="n">
        <x:v>0.39030859287241665</x:v>
      </x:c>
      <x:c r="E6" s="18" t="n">
        <x:f>IFERROR(1/D6,"")</x:f>
        <x:v>2.5620752867382506</x:v>
      </x:c>
    </x:row>
    <x:row r="7">
      <x:c r="A7" s="16" t="str">
        <x:v>Pair_003.png</x:v>
      </x:c>
      <x:c r="B7" s="17" t="str">
        <x:v>(b)</x:v>
      </x:c>
      <x:c r="C7" s="16" t="str">
        <x:v>Pieridae-Coliadinae-3</x:v>
      </x:c>
      <x:c r="D7" s="18" t="n">
        <x:v>0.39339575127093246</x:v>
      </x:c>
      <x:c r="E7" s="18" t="n">
        <x:f>IFERROR(1/D7,"")</x:f>
        <x:v>2.5419694970505615</x:v>
      </x:c>
    </x:row>
    <x:row r="8">
      <x:c r="A8" s="16" t="str">
        <x:v>Pair_004.png</x:v>
      </x:c>
      <x:c r="B8" s="17" t="str">
        <x:v>(a)</x:v>
      </x:c>
      <x:c r="C8" s="16" t="str">
        <x:v>Pieridae-Coliadinae-8</x:v>
      </x:c>
      <x:c r="D8" s="18" t="n">
        <x:v>0.4281849133965163</x:v>
      </x:c>
      <x:c r="E8" s="18" t="n">
        <x:f>IFERROR(1/D8,"")</x:f>
        <x:v>2.3354395933001033</x:v>
      </x:c>
    </x:row>
    <x:row r="9">
      <x:c r="A9" s="16" t="str">
        <x:v>Pair_004.png</x:v>
      </x:c>
      <x:c r="B9" s="17" t="str">
        <x:v>(b)</x:v>
      </x:c>
      <x:c r="C9" s="16" t="str">
        <x:v>Riodinidae-12</x:v>
      </x:c>
      <x:c r="D9" s="18" t="n">
        <x:v>0.43066693730592226</x:v>
      </x:c>
      <x:c r="E9" s="18" t="n">
        <x:f>IFERROR(1/D9,"")</x:f>
        <x:v>2.3219799649715265</x:v>
      </x:c>
    </x:row>
    <x:row r="10">
      <x:c r="A10" s="16" t="str">
        <x:v>Pair_005.png</x:v>
      </x:c>
      <x:c r="B10" s="17" t="str">
        <x:v>(a)</x:v>
      </x:c>
      <x:c r="C10" s="16" t="str">
        <x:v>Danainae-16</x:v>
      </x:c>
      <x:c r="D10" s="18" t="n">
        <x:v>0.31872375654239243</x:v>
      </x:c>
      <x:c r="E10" s="18" t="n">
        <x:f>IFERROR(1/D10,"")</x:f>
        <x:v>3.137513221004576</x:v>
      </x:c>
    </x:row>
    <x:row r="11">
      <x:c r="A11" s="16" t="str">
        <x:v>Pair_005.png</x:v>
      </x:c>
      <x:c r="B11" s="17" t="str">
        <x:v>(b)</x:v>
      </x:c>
      <x:c r="C11" s="16" t="str">
        <x:v>Hesperiidae-22</x:v>
      </x:c>
      <x:c r="D11" s="18" t="n">
        <x:v>0.32051699702047864</x:v>
      </x:c>
      <x:c r="E11" s="18" t="n">
        <x:f>IFERROR(1/D11,"")</x:f>
        <x:v>3.1199593447336196</x:v>
      </x:c>
    </x:row>
    <x:row r="12">
      <x:c r="A12" s="16" t="str">
        <x:v>Pair_006.png</x:v>
      </x:c>
      <x:c r="B12" s="17" t="str">
        <x:v>(a)</x:v>
      </x:c>
      <x:c r="C12" s="16" t="str">
        <x:v>Hesperiidae-12</x:v>
      </x:c>
      <x:c r="D12" s="18" t="n">
        <x:v>0.37784242981981025</x:v>
      </x:c>
      <x:c r="E12" s="18" t="n">
        <x:f>IFERROR(1/D12,"")</x:f>
        <x:v>2.646605889330352</x:v>
      </x:c>
    </x:row>
    <x:row r="13">
      <x:c r="A13" s="16" t="str">
        <x:v>Pair_006.png</x:v>
      </x:c>
      <x:c r="B13" s="17" t="str">
        <x:v>(b)</x:v>
      </x:c>
      <x:c r="C13" s="16" t="str">
        <x:v>Papilionidae_Papilio_polytes</x:v>
      </x:c>
      <x:c r="D13" s="18" t="n">
        <x:v>0.3762236682467351</x:v>
      </x:c>
      <x:c r="E13" s="18" t="n">
        <x:f>IFERROR(1/D13,"")</x:f>
        <x:v>2.6579933279056216</x:v>
      </x:c>
    </x:row>
    <x:row r="14">
      <x:c r="A14" s="16" t="str">
        <x:v>Pair_007.png</x:v>
      </x:c>
      <x:c r="B14" s="17" t="str">
        <x:v>(a)</x:v>
      </x:c>
      <x:c r="C14" s="16" t="str">
        <x:v>Papilionidae-20</x:v>
      </x:c>
      <x:c r="D14" s="18" t="n">
        <x:v>0.33367678931367006</x:v>
      </x:c>
      <x:c r="E14" s="18" t="n">
        <x:f>IFERROR(1/D14,"")</x:f>
        <x:v>2.9969120778729335</x:v>
      </x:c>
    </x:row>
    <x:row r="15">
      <x:c r="A15" s="16" t="str">
        <x:v>Pair_007.png</x:v>
      </x:c>
      <x:c r="B15" s="17" t="str">
        <x:v>(b)</x:v>
      </x:c>
      <x:c r="C15" s="16" t="str">
        <x:v>Pieridae-13</x:v>
      </x:c>
      <x:c r="D15" s="18" t="n">
        <x:v>0.3319864546086178</x:v>
      </x:c>
      <x:c r="E15" s="18" t="n">
        <x:f>IFERROR(1/D15,"")</x:f>
        <x:v>3.012171087458704</x:v>
      </x:c>
    </x:row>
    <x:row r="16">
      <x:c r="A16" s="16" t="str">
        <x:v>Pair_008.png</x:v>
      </x:c>
      <x:c r="B16" s="17" t="str">
        <x:v>(a)</x:v>
      </x:c>
      <x:c r="C16" s="16" t="str">
        <x:v>Charaxinae-14</x:v>
      </x:c>
      <x:c r="D16" s="18" t="n">
        <x:v>0.45680316264621307</x:v>
      </x:c>
      <x:c r="E16" s="18" t="n">
        <x:f>IFERROR(1/D16,"")</x:f>
        <x:v>2.189126700014738</x:v>
      </x:c>
    </x:row>
    <x:row r="17">
      <x:c r="A17" s="16" t="str">
        <x:v>Pair_008.png</x:v>
      </x:c>
      <x:c r="B17" s="17" t="str">
        <x:v>(b)</x:v>
      </x:c>
      <x:c r="C17" s="16" t="str">
        <x:v>Riodinidae-5</x:v>
      </x:c>
      <x:c r="D17" s="18" t="n">
        <x:v>0.45287693386286293</x:v>
      </x:c>
      <x:c r="E17" s="18" t="n">
        <x:f>IFERROR(1/D17,"")</x:f>
        <x:v>2.208105392938412</x:v>
      </x:c>
    </x:row>
    <x:row r="18">
      <x:c r="A18" s="16" t="str">
        <x:v>Pair_009.png</x:v>
      </x:c>
      <x:c r="B18" s="17" t="str">
        <x:v>(a)</x:v>
      </x:c>
      <x:c r="C18" s="16" t="str">
        <x:v>Charaxinae-6</x:v>
      </x:c>
      <x:c r="D18" s="18" t="n">
        <x:v>0.3971057891031641</x:v>
      </x:c>
      <x:c r="E18" s="18" t="n">
        <x:f>IFERROR(1/D18,"")</x:f>
        <x:v>2.518220654144657</x:v>
      </x:c>
    </x:row>
    <x:row r="19">
      <x:c r="A19" s="16" t="str">
        <x:v>Pair_009.png</x:v>
      </x:c>
      <x:c r="B19" s="17" t="str">
        <x:v>(b)</x:v>
      </x:c>
      <x:c r="C19" s="16" t="str">
        <x:v>Nymphalinae-12</x:v>
      </x:c>
      <x:c r="D19" s="18" t="n">
        <x:v>0.3998544833716397</x:v>
      </x:c>
      <x:c r="E19" s="18" t="n">
        <x:f>IFERROR(1/D19,"")</x:f>
        <x:v>2.5009098099084275</x:v>
      </x:c>
    </x:row>
    <x:row r="20">
      <x:c r="A20" s="16" t="str">
        <x:v>Pair_010.png</x:v>
      </x:c>
      <x:c r="B20" s="17" t="str">
        <x:v>(a)</x:v>
      </x:c>
      <x:c r="C20" s="16" t="str">
        <x:v>Hesperiidae-15</x:v>
      </x:c>
      <x:c r="D20" s="18" t="n">
        <x:v>0.33358902412522046</x:v>
      </x:c>
      <x:c r="E20" s="18" t="n">
        <x:f>IFERROR(1/D20,"")</x:f>
        <x:v>2.997700546720106</x:v>
      </x:c>
    </x:row>
    <x:row r="21">
      <x:c r="A21" s="16" t="str">
        <x:v>Pair_010.png</x:v>
      </x:c>
      <x:c r="B21" s="17" t="str">
        <x:v>(b)</x:v>
      </x:c>
      <x:c r="C21" s="16" t="str">
        <x:v>Satyrinae-23</x:v>
      </x:c>
      <x:c r="D21" s="18" t="n">
        <x:v>0.33129627727581024</x:v>
      </x:c>
      <x:c r="E21" s="18" t="n">
        <x:f>IFERROR(1/D21,"")</x:f>
        <x:v>3.0184462325469528</x:v>
      </x:c>
    </x:row>
    <x:row r="22">
      <x:c r="A22" s="16" t="str">
        <x:v>Pair_011.png</x:v>
      </x:c>
      <x:c r="B22" s="17" t="str">
        <x:v>(a)</x:v>
      </x:c>
      <x:c r="C22" s="16" t="str">
        <x:v>Heliconiinae-4</x:v>
      </x:c>
      <x:c r="D22" s="18" t="n">
        <x:v>0.3395724589492845</x:v>
      </x:c>
      <x:c r="E22" s="18" t="n">
        <x:f>IFERROR(1/D22,"")</x:f>
        <x:v>2.9448795791455837</x:v>
      </x:c>
    </x:row>
    <x:row r="23">
      <x:c r="A23" s="16" t="str">
        <x:v>Pair_011.png</x:v>
      </x:c>
      <x:c r="B23" s="17" t="str">
        <x:v>(b)</x:v>
      </x:c>
      <x:c r="C23" s="16" t="str">
        <x:v>Papilionidae_Graphium_agamemnon</x:v>
      </x:c>
      <x:c r="D23" s="18" t="n">
        <x:v>0.3428051208150631</x:v>
      </x:c>
      <x:c r="E23" s="18" t="n">
        <x:f>IFERROR(1/D23,"")</x:f>
        <x:v>2.9171092824470413</x:v>
      </x:c>
    </x:row>
    <x:row r="24">
      <x:c r="A24" s="16" t="str">
        <x:v>Pair_012.png</x:v>
      </x:c>
      <x:c r="B24" s="17" t="str">
        <x:v>(a)</x:v>
      </x:c>
      <x:c r="C24" s="16" t="str">
        <x:v>Limenitidinae-3</x:v>
      </x:c>
      <x:c r="D24" s="18" t="n">
        <x:v>0.37365976128230854</x:v>
      </x:c>
      <x:c r="E24" s="18" t="n">
        <x:f>IFERROR(1/D24,"")</x:f>
        <x:v>2.6762314373060816</x:v>
      </x:c>
    </x:row>
    <x:row r="25">
      <x:c r="A25" s="16" t="str">
        <x:v>Pair_012.png</x:v>
      </x:c>
      <x:c r="B25" s="17" t="str">
        <x:v>(b)</x:v>
      </x:c>
      <x:c r="C25" s="16" t="str">
        <x:v>Pieridae-Coliadinae-7</x:v>
      </x:c>
      <x:c r="D25" s="18" t="n">
        <x:v>0.3728302846101812</x:v>
      </x:c>
      <x:c r="E25" s="18" t="n">
        <x:f>IFERROR(1/D25,"")</x:f>
        <x:v>2.6821855446790392</x:v>
      </x:c>
    </x:row>
  </x:sheetData>
  <x:pageMargins left="0.7" right="0.7" top="0.75" bottom="0.75" header="0.3" footer="0.3"/>
  <x:tableParts count="1">
    <x:tablePart xmlns:r="http://schemas.openxmlformats.org/officeDocument/2006/relationships" r:id="R3df27b59c70d4b2d"/>
  </x:tableParts>
</x:worksheet>
</file>